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edu-my.sharepoint.com/personal/mitchelg_up_edu/Documents/Teaching/2024 Spring/BUS 543/Reference Material/"/>
    </mc:Choice>
  </mc:AlternateContent>
  <xr:revisionPtr revIDLastSave="232" documentId="8_{EBC09B2B-C85A-48DD-835E-C67DBAA0B36A}" xr6:coauthVersionLast="47" xr6:coauthVersionMax="47" xr10:uidLastSave="{498332C4-F117-40B5-B501-616118C50DF3}"/>
  <bookViews>
    <workbookView xWindow="-90" yWindow="-90" windowWidth="19380" windowHeight="10980" xr2:uid="{F981DBD9-D2DA-4036-A0BA-66FCC4057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1" l="1"/>
  <c r="B34" i="1"/>
  <c r="B35" i="1"/>
  <c r="B36" i="1"/>
  <c r="B32" i="1"/>
  <c r="C36" i="1"/>
  <c r="C35" i="1"/>
  <c r="C34" i="1"/>
  <c r="C33" i="1"/>
  <c r="C32" i="1"/>
  <c r="B28" i="1"/>
  <c r="C28" i="1"/>
  <c r="B29" i="1"/>
  <c r="C29" i="1"/>
  <c r="B30" i="1"/>
  <c r="C30" i="1"/>
  <c r="B31" i="1"/>
  <c r="C31" i="1"/>
  <c r="B27" i="1"/>
  <c r="C27" i="1"/>
  <c r="B25" i="1"/>
  <c r="C25" i="1"/>
  <c r="B26" i="1"/>
  <c r="C26" i="1"/>
  <c r="B20" i="1"/>
  <c r="C20" i="1"/>
  <c r="B21" i="1"/>
  <c r="C21" i="1"/>
  <c r="B15" i="1"/>
  <c r="C15" i="1"/>
  <c r="B16" i="1"/>
  <c r="C16" i="1"/>
  <c r="B10" i="1"/>
  <c r="C10" i="1"/>
  <c r="B11" i="1"/>
  <c r="C11" i="1"/>
  <c r="B5" i="1"/>
  <c r="C5" i="1"/>
  <c r="B6" i="1"/>
  <c r="C6" i="1"/>
  <c r="C24" i="1"/>
  <c r="C23" i="1"/>
  <c r="C22" i="1"/>
  <c r="B24" i="1"/>
  <c r="B23" i="1"/>
  <c r="B22" i="1"/>
  <c r="C19" i="1"/>
  <c r="B19" i="1"/>
  <c r="C18" i="1"/>
  <c r="B18" i="1"/>
  <c r="C17" i="1"/>
  <c r="B17" i="1"/>
  <c r="C3" i="1"/>
  <c r="C4" i="1"/>
  <c r="C7" i="1"/>
  <c r="C8" i="1"/>
  <c r="C9" i="1"/>
  <c r="C12" i="1"/>
  <c r="C13" i="1"/>
  <c r="C14" i="1"/>
  <c r="C2" i="1"/>
  <c r="B12" i="1"/>
  <c r="B13" i="1"/>
  <c r="B14" i="1"/>
  <c r="B9" i="1"/>
  <c r="B7" i="1"/>
  <c r="B8" i="1"/>
  <c r="B4" i="1"/>
  <c r="B3" i="1"/>
  <c r="B2" i="1"/>
</calcChain>
</file>

<file path=xl/sharedStrings.xml><?xml version="1.0" encoding="utf-8"?>
<sst xmlns="http://schemas.openxmlformats.org/spreadsheetml/2006/main" count="146" uniqueCount="86">
  <si>
    <t>Probability</t>
  </si>
  <si>
    <t>Calculation</t>
  </si>
  <si>
    <t>Distribution</t>
  </si>
  <si>
    <t>Discrete Uniform</t>
  </si>
  <si>
    <t>m(x)</t>
  </si>
  <si>
    <t>F(x)</t>
  </si>
  <si>
    <t>Probability.Raw</t>
  </si>
  <si>
    <t>Calculation.Raw</t>
  </si>
  <si>
    <t>\frac{1}{n}</t>
  </si>
  <si>
    <t>F^{-1}(\alpha)</t>
  </si>
  <si>
    <t>Poisson</t>
  </si>
  <si>
    <t>\frac{\lambda^x e^{-\lambda}}{x!}</t>
  </si>
  <si>
    <t>must be determined algorithmically</t>
  </si>
  <si>
    <t>Binomial</t>
  </si>
  <si>
    <t>{n \choose x}p^x q^{n-x},  \quad q=1-p</t>
  </si>
  <si>
    <t>\sum_{c=0}^{x}\frac{\lambda^c e^{-\lambda}}{c!}</t>
  </si>
  <si>
    <t>\sum_{r=0}^{x}{n \choose r}p^r q^{n-r}</t>
  </si>
  <si>
    <t>Continuous Uniform</t>
  </si>
  <si>
    <t>f(x)</t>
  </si>
  <si>
    <t>\frac{1}{b-a}</t>
  </si>
  <si>
    <t>\frac{x-a}{b-a}</t>
  </si>
  <si>
    <t>a + (b-a)\alpha</t>
  </si>
  <si>
    <t>Normal</t>
  </si>
  <si>
    <t>\frac{1}{\sigma \sqrt{2 \pi}} e^{-\frac{1}{2}\bigl( \frac{x-\mu}{\sigma} \bigr)^2}</t>
  </si>
  <si>
    <t>\int_{-\infty}^{x} f(t)dt</t>
  </si>
  <si>
    <t>k : \int_{-\infty}^{k} f(t)dt = \alpha</t>
  </si>
  <si>
    <t>E[X]</t>
  </si>
  <si>
    <t>\sum_{x \in \Omega} m(x) x</t>
  </si>
  <si>
    <t>V[X]</t>
  </si>
  <si>
    <t>\sum_{x \in \Omega} m(x) \big(x - E[x]\big)^2</t>
  </si>
  <si>
    <t>\sqrt{\lambda}</t>
  </si>
  <si>
    <t>\lambda</t>
  </si>
  <si>
    <t>n p</t>
  </si>
  <si>
    <t>n p q</t>
  </si>
  <si>
    <t>\frac{a + b}{2}</t>
  </si>
  <si>
    <t>\frac{(b - a)^2}{12}</t>
  </si>
  <si>
    <t>\mu</t>
  </si>
  <si>
    <t>\sigma^2</t>
  </si>
  <si>
    <t>F{x}</t>
  </si>
  <si>
    <t>1-e^{-\lambda x}</t>
  </si>
  <si>
    <t>\frac{-ln(1-\alpha)}{\lambda}</t>
  </si>
  <si>
    <t>\frac{1}{\lambda}</t>
  </si>
  <si>
    <t>\frac{1}{\lambda ^ 2}</t>
  </si>
  <si>
    <t>Shifted Exponential</t>
  </si>
  <si>
    <t>1-e^{-\lambda (x-a)}</t>
  </si>
  <si>
    <t>a + \frac{-ln(1-\alpha)}{\lambda}</t>
  </si>
  <si>
    <t>a + \frac{1}{\lambda}</t>
  </si>
  <si>
    <t>Calculating in R</t>
  </si>
  <si>
    <t>$\lambda$</t>
  </si>
  <si>
    <t>$\mu$</t>
  </si>
  <si>
    <t>qpois($\alpha$, $\lambda$)</t>
  </si>
  <si>
    <t>ppois(x, $\lambda$)</t>
  </si>
  <si>
    <t>dpois(x, $\lambda$)</t>
  </si>
  <si>
    <t>sqrt($\lambda$)</t>
  </si>
  <si>
    <t>dbinom(x, n, p)</t>
  </si>
  <si>
    <t>pbinom(x, n, p)</t>
  </si>
  <si>
    <t>qbinom($\alpha$, n, p)</t>
  </si>
  <si>
    <t>n * p</t>
  </si>
  <si>
    <t>n * p * q</t>
  </si>
  <si>
    <t>dunif(x, a, b)</t>
  </si>
  <si>
    <t>punif(x, a, b)</t>
  </si>
  <si>
    <t>qunif(\alpha, a, b)</t>
  </si>
  <si>
    <t>(a + b) / 2</t>
  </si>
  <si>
    <t>(b - a)^2 / 2</t>
  </si>
  <si>
    <t>dnorm(x, $\mu$, $\sigma$)</t>
  </si>
  <si>
    <t>pnorm(x, $\mu$, $\sigma$)</t>
  </si>
  <si>
    <t>qnorm(x, $\mu$, $\sigma$)</t>
  </si>
  <si>
    <t>dexp(x, $\lambda$)</t>
  </si>
  <si>
    <t>pexp(x, $\lambda$)</t>
  </si>
  <si>
    <t>qexp($\alpha$, $\lambda$)</t>
  </si>
  <si>
    <t>1 / $\lambda$</t>
  </si>
  <si>
    <t>1 / $\lambda ^ 2$</t>
  </si>
  <si>
    <t>dexp(x-a, $\lambda$)</t>
  </si>
  <si>
    <t>pexp(x-a, $\lambda$)</t>
  </si>
  <si>
    <t>a + qexp($\alpha$, $\lambda$)</t>
  </si>
  <si>
    <t>a + 1 / $\lambda$</t>
  </si>
  <si>
    <t>1/length($\mathbf{X}$)</t>
  </si>
  <si>
    <t>depends on $\Omega$</t>
  </si>
  <si>
    <t>\sum_{i \leq x}\thinspace \frac{1}{n}</t>
  </si>
  <si>
    <t>sum($\mathbf{X}$) * 1/n</t>
  </si>
  <si>
    <t>sum($\mathbf{X}$ &lt;= x) * 1/n</t>
  </si>
  <si>
    <t>sum(($\mathbf{X}$ - E[x])^2 * 1/n)</t>
  </si>
  <si>
    <t>$\sigma ^ 2$</t>
  </si>
  <si>
    <t>Exponential</t>
  </si>
  <si>
    <t>\lambda e^{-\lambda (x - a)}</t>
  </si>
  <si>
    <t>\lambda e^{-\lambda x}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</si>
</sst>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8660-4B02-4D80-9162-1073B8400942}">
  <dimension ref="A1:F36"/>
  <sheetViews>
    <sheetView tabSelected="1" topLeftCell="B19" workbookViewId="0">
      <selection activeCell="F28" sqref="F28"/>
    </sheetView>
  </sheetViews>
  <sheetFormatPr defaultRowHeight="14.75" x14ac:dyDescent="0.75"/>
  <cols>
    <col min="1" max="1" width="16.54296875" customWidth="1"/>
    <col min="2" max="2" width="24.08984375" customWidth="1"/>
    <col min="3" max="3" width="48.31640625" customWidth="1"/>
    <col min="4" max="4" width="30.6796875" customWidth="1"/>
    <col min="5" max="5" width="24.08984375" customWidth="1"/>
    <col min="6" max="6" width="29.6796875" customWidth="1"/>
  </cols>
  <sheetData>
    <row r="1" spans="1:6" x14ac:dyDescent="0.75">
      <c r="A1" t="s">
        <v>2</v>
      </c>
      <c r="B1" t="s">
        <v>0</v>
      </c>
      <c r="C1" t="s">
        <v>1</v>
      </c>
      <c r="D1" t="s">
        <v>47</v>
      </c>
      <c r="E1" t="s">
        <v>6</v>
      </c>
      <c r="F1" t="s">
        <v>7</v>
      </c>
    </row>
    <row r="2" spans="1:6" x14ac:dyDescent="0.75">
      <c r="A2" t="s">
        <v>3</v>
      </c>
      <c r="B2" t="str">
        <f>"$" &amp; TRIM(E2) &amp; "$"</f>
        <v>$m(x)$</v>
      </c>
      <c r="C2" t="str">
        <f>IF(LEFT(F2,4)="must",F2,"$" &amp; TRIM(F2) &amp; "$")</f>
        <v>$\frac{1}{n}$</v>
      </c>
      <c r="D2" t="s">
        <v>76</v>
      </c>
      <c r="E2" t="s">
        <v>4</v>
      </c>
      <c r="F2" t="s">
        <v>8</v>
      </c>
    </row>
    <row r="3" spans="1:6" x14ac:dyDescent="0.75">
      <c r="A3" t="s">
        <v>3</v>
      </c>
      <c r="B3" t="str">
        <f>"$" &amp; TRIM(E3) &amp; "$"</f>
        <v>$F(x)$</v>
      </c>
      <c r="C3" t="str">
        <f t="shared" ref="C3:C24" si="0">IF(LEFT(F3,4)="must",F3,"$" &amp; TRIM(F3) &amp; "$")</f>
        <v>$\sum_{i \leq x}\thinspace \frac{1}{n}$</v>
      </c>
      <c r="D3" t="s">
        <v>80</v>
      </c>
      <c r="E3" t="s">
        <v>5</v>
      </c>
      <c r="F3" t="s">
        <v>78</v>
      </c>
    </row>
    <row r="4" spans="1:6" x14ac:dyDescent="0.75">
      <c r="A4" t="s">
        <v>3</v>
      </c>
      <c r="B4" t="str">
        <f>"$" &amp; TRIM(E4) &amp; "$"</f>
        <v>$F^{-1}(\alpha)$</v>
      </c>
      <c r="C4" t="str">
        <f t="shared" si="0"/>
        <v>must be determined algorithmically</v>
      </c>
      <c r="D4" t="s">
        <v>77</v>
      </c>
      <c r="E4" t="s">
        <v>9</v>
      </c>
      <c r="F4" t="s">
        <v>12</v>
      </c>
    </row>
    <row r="5" spans="1:6" x14ac:dyDescent="0.75">
      <c r="A5" t="s">
        <v>3</v>
      </c>
      <c r="B5" t="str">
        <f t="shared" ref="B5:B6" si="1">"$" &amp; TRIM(E5) &amp; "$"</f>
        <v>$E[X]$</v>
      </c>
      <c r="C5" t="str">
        <f t="shared" ref="C5:C6" si="2">IF(LEFT(F5,4)="must",F5,"$" &amp; TRIM(F5) &amp; "$")</f>
        <v>$\sum_{x \in \Omega} m(x) x$</v>
      </c>
      <c r="D5" t="s">
        <v>79</v>
      </c>
      <c r="E5" t="s">
        <v>26</v>
      </c>
      <c r="F5" t="s">
        <v>27</v>
      </c>
    </row>
    <row r="6" spans="1:6" x14ac:dyDescent="0.75">
      <c r="A6" t="s">
        <v>3</v>
      </c>
      <c r="B6" t="str">
        <f t="shared" si="1"/>
        <v>$V[X]$</v>
      </c>
      <c r="C6" t="str">
        <f t="shared" si="2"/>
        <v>$\sum_{x \in \Omega} m(x) \big(x - E[x]\big)^2$</v>
      </c>
      <c r="D6" t="s">
        <v>81</v>
      </c>
      <c r="E6" t="s">
        <v>28</v>
      </c>
      <c r="F6" t="s">
        <v>29</v>
      </c>
    </row>
    <row r="7" spans="1:6" x14ac:dyDescent="0.75">
      <c r="A7" t="s">
        <v>10</v>
      </c>
      <c r="B7" t="str">
        <f t="shared" ref="B7:B9" si="3">"$" &amp; TRIM(E7) &amp; "$"</f>
        <v>$m(x)$</v>
      </c>
      <c r="C7" t="str">
        <f t="shared" si="0"/>
        <v>$\frac{\lambda^x e^{-\lambda}}{x!}$</v>
      </c>
      <c r="D7" t="s">
        <v>52</v>
      </c>
      <c r="E7" t="s">
        <v>4</v>
      </c>
      <c r="F7" t="s">
        <v>11</v>
      </c>
    </row>
    <row r="8" spans="1:6" x14ac:dyDescent="0.75">
      <c r="A8" t="s">
        <v>10</v>
      </c>
      <c r="B8" t="str">
        <f t="shared" si="3"/>
        <v>$F(x)$</v>
      </c>
      <c r="C8" t="str">
        <f t="shared" si="0"/>
        <v>$\sum_{c=0}^{x}\frac{\lambda^c e^{-\lambda}}{c!}$</v>
      </c>
      <c r="D8" t="s">
        <v>51</v>
      </c>
      <c r="E8" t="s">
        <v>5</v>
      </c>
      <c r="F8" t="s">
        <v>15</v>
      </c>
    </row>
    <row r="9" spans="1:6" x14ac:dyDescent="0.75">
      <c r="A9" t="s">
        <v>10</v>
      </c>
      <c r="B9" t="str">
        <f t="shared" si="3"/>
        <v>$F^{-1}(\alpha)$</v>
      </c>
      <c r="C9" t="str">
        <f t="shared" si="0"/>
        <v>must be determined algorithmically</v>
      </c>
      <c r="D9" t="s">
        <v>50</v>
      </c>
      <c r="E9" t="s">
        <v>9</v>
      </c>
      <c r="F9" t="s">
        <v>12</v>
      </c>
    </row>
    <row r="10" spans="1:6" x14ac:dyDescent="0.75">
      <c r="A10" t="s">
        <v>10</v>
      </c>
      <c r="B10" t="str">
        <f t="shared" ref="B10:B11" si="4">"$" &amp; TRIM(E10) &amp; "$"</f>
        <v>$E[X]$</v>
      </c>
      <c r="C10" t="str">
        <f t="shared" ref="C10:C11" si="5">IF(LEFT(F10,4)="must",F10,"$" &amp; TRIM(F10) &amp; "$")</f>
        <v>$\lambda$</v>
      </c>
      <c r="D10" t="s">
        <v>48</v>
      </c>
      <c r="E10" t="s">
        <v>26</v>
      </c>
      <c r="F10" t="s">
        <v>31</v>
      </c>
    </row>
    <row r="11" spans="1:6" x14ac:dyDescent="0.75">
      <c r="A11" t="s">
        <v>10</v>
      </c>
      <c r="B11" t="str">
        <f t="shared" si="4"/>
        <v>$V[X]$</v>
      </c>
      <c r="C11" t="str">
        <f t="shared" si="5"/>
        <v>$\sqrt{\lambda}$</v>
      </c>
      <c r="D11" t="s">
        <v>53</v>
      </c>
      <c r="E11" t="s">
        <v>28</v>
      </c>
      <c r="F11" t="s">
        <v>30</v>
      </c>
    </row>
    <row r="12" spans="1:6" x14ac:dyDescent="0.75">
      <c r="A12" t="s">
        <v>13</v>
      </c>
      <c r="B12" t="str">
        <f t="shared" ref="B12:B24" si="6">"$" &amp; TRIM(E12) &amp; "$"</f>
        <v>$m(x)$</v>
      </c>
      <c r="C12" t="str">
        <f t="shared" si="0"/>
        <v>${n \choose x}p^x q^{n-x}, \quad q=1-p$</v>
      </c>
      <c r="D12" t="s">
        <v>54</v>
      </c>
      <c r="E12" t="s">
        <v>4</v>
      </c>
      <c r="F12" t="s">
        <v>14</v>
      </c>
    </row>
    <row r="13" spans="1:6" x14ac:dyDescent="0.75">
      <c r="A13" t="s">
        <v>13</v>
      </c>
      <c r="B13" t="str">
        <f t="shared" si="6"/>
        <v>$F(x)$</v>
      </c>
      <c r="C13" t="str">
        <f t="shared" si="0"/>
        <v>$\sum_{r=0}^{x}{n \choose r}p^r q^{n-r}$</v>
      </c>
      <c r="D13" t="s">
        <v>55</v>
      </c>
      <c r="E13" t="s">
        <v>5</v>
      </c>
      <c r="F13" t="s">
        <v>16</v>
      </c>
    </row>
    <row r="14" spans="1:6" x14ac:dyDescent="0.75">
      <c r="A14" t="s">
        <v>13</v>
      </c>
      <c r="B14" t="str">
        <f t="shared" si="6"/>
        <v>$F^{-1}(\alpha)$</v>
      </c>
      <c r="C14" t="str">
        <f t="shared" si="0"/>
        <v>must be determined algorithmically</v>
      </c>
      <c r="D14" t="s">
        <v>56</v>
      </c>
      <c r="E14" t="s">
        <v>9</v>
      </c>
      <c r="F14" t="s">
        <v>12</v>
      </c>
    </row>
    <row r="15" spans="1:6" x14ac:dyDescent="0.75">
      <c r="A15" t="s">
        <v>13</v>
      </c>
      <c r="B15" t="str">
        <f t="shared" ref="B15:B16" si="7">"$" &amp; TRIM(E15) &amp; "$"</f>
        <v>$E[X]$</v>
      </c>
      <c r="C15" t="str">
        <f t="shared" ref="C15:C16" si="8">IF(LEFT(F15,4)="must",F15,"$" &amp; TRIM(F15) &amp; "$")</f>
        <v>$n p$</v>
      </c>
      <c r="D15" t="s">
        <v>57</v>
      </c>
      <c r="E15" t="s">
        <v>26</v>
      </c>
      <c r="F15" t="s">
        <v>32</v>
      </c>
    </row>
    <row r="16" spans="1:6" x14ac:dyDescent="0.75">
      <c r="A16" t="s">
        <v>13</v>
      </c>
      <c r="B16" t="str">
        <f t="shared" si="7"/>
        <v>$V[X]$</v>
      </c>
      <c r="C16" t="str">
        <f t="shared" si="8"/>
        <v>$n p q$</v>
      </c>
      <c r="D16" t="s">
        <v>58</v>
      </c>
      <c r="E16" t="s">
        <v>28</v>
      </c>
      <c r="F16" t="s">
        <v>33</v>
      </c>
    </row>
    <row r="17" spans="1:6" x14ac:dyDescent="0.75">
      <c r="A17" t="s">
        <v>17</v>
      </c>
      <c r="B17" t="str">
        <f t="shared" si="6"/>
        <v>$f(x)$</v>
      </c>
      <c r="C17" t="str">
        <f t="shared" si="0"/>
        <v>$\frac{1}{b-a}$</v>
      </c>
      <c r="D17" t="s">
        <v>59</v>
      </c>
      <c r="E17" t="s">
        <v>18</v>
      </c>
      <c r="F17" t="s">
        <v>19</v>
      </c>
    </row>
    <row r="18" spans="1:6" x14ac:dyDescent="0.75">
      <c r="A18" t="s">
        <v>17</v>
      </c>
      <c r="B18" t="str">
        <f t="shared" si="6"/>
        <v>$F(x)$</v>
      </c>
      <c r="C18" t="str">
        <f t="shared" si="0"/>
        <v>$\frac{x-a}{b-a}$</v>
      </c>
      <c r="D18" t="s">
        <v>60</v>
      </c>
      <c r="E18" t="s">
        <v>5</v>
      </c>
      <c r="F18" t="s">
        <v>20</v>
      </c>
    </row>
    <row r="19" spans="1:6" x14ac:dyDescent="0.75">
      <c r="A19" t="s">
        <v>17</v>
      </c>
      <c r="B19" t="str">
        <f t="shared" si="6"/>
        <v>$F^{-1}(\alpha)$</v>
      </c>
      <c r="C19" t="str">
        <f t="shared" si="0"/>
        <v>$a + (b-a)\alpha$</v>
      </c>
      <c r="D19" t="s">
        <v>61</v>
      </c>
      <c r="E19" t="s">
        <v>9</v>
      </c>
      <c r="F19" t="s">
        <v>21</v>
      </c>
    </row>
    <row r="20" spans="1:6" x14ac:dyDescent="0.75">
      <c r="A20" t="s">
        <v>17</v>
      </c>
      <c r="B20" t="str">
        <f t="shared" ref="B20:B21" si="9">"$" &amp; TRIM(E20) &amp; "$"</f>
        <v>$E[X]$</v>
      </c>
      <c r="C20" t="str">
        <f t="shared" ref="C20:C21" si="10">IF(LEFT(F20,4)="must",F20,"$" &amp; TRIM(F20) &amp; "$")</f>
        <v>$\frac{a + b}{2}$</v>
      </c>
      <c r="D20" t="s">
        <v>62</v>
      </c>
      <c r="E20" t="s">
        <v>26</v>
      </c>
      <c r="F20" t="s">
        <v>34</v>
      </c>
    </row>
    <row r="21" spans="1:6" x14ac:dyDescent="0.75">
      <c r="A21" t="s">
        <v>17</v>
      </c>
      <c r="B21" t="str">
        <f t="shared" si="9"/>
        <v>$V[X]$</v>
      </c>
      <c r="C21" t="str">
        <f t="shared" si="10"/>
        <v>$\frac{(b - a)^2}{12}$</v>
      </c>
      <c r="D21" t="s">
        <v>63</v>
      </c>
      <c r="E21" t="s">
        <v>28</v>
      </c>
      <c r="F21" t="s">
        <v>35</v>
      </c>
    </row>
    <row r="22" spans="1:6" x14ac:dyDescent="0.75">
      <c r="A22" t="s">
        <v>22</v>
      </c>
      <c r="B22" t="str">
        <f t="shared" si="6"/>
        <v>$f(x)$</v>
      </c>
      <c r="C22" t="str">
        <f t="shared" si="0"/>
        <v>$\frac{1}{\sigma \sqrt{2 \pi}} e^{-\frac{1}{2}\bigl( \frac{x-\mu}{\sigma} \bigr)^2}$</v>
      </c>
      <c r="D22" t="s">
        <v>64</v>
      </c>
      <c r="E22" t="s">
        <v>18</v>
      </c>
      <c r="F22" t="s">
        <v>23</v>
      </c>
    </row>
    <row r="23" spans="1:6" x14ac:dyDescent="0.75">
      <c r="A23" t="s">
        <v>22</v>
      </c>
      <c r="B23" t="str">
        <f t="shared" si="6"/>
        <v>$F(x)$</v>
      </c>
      <c r="C23" t="str">
        <f t="shared" si="0"/>
        <v>$\int_{-\infty}^{x} f(t)dt$</v>
      </c>
      <c r="D23" t="s">
        <v>65</v>
      </c>
      <c r="E23" t="s">
        <v>5</v>
      </c>
      <c r="F23" t="s">
        <v>24</v>
      </c>
    </row>
    <row r="24" spans="1:6" x14ac:dyDescent="0.75">
      <c r="A24" t="s">
        <v>22</v>
      </c>
      <c r="B24" t="str">
        <f t="shared" si="6"/>
        <v>$F^{-1}(\alpha)$</v>
      </c>
      <c r="C24" t="str">
        <f t="shared" si="0"/>
        <v>$k : \int_{-\infty}^{k} f(t)dt = \alpha$</v>
      </c>
      <c r="D24" t="s">
        <v>66</v>
      </c>
      <c r="E24" t="s">
        <v>9</v>
      </c>
      <c r="F24" t="s">
        <v>25</v>
      </c>
    </row>
    <row r="25" spans="1:6" x14ac:dyDescent="0.75">
      <c r="A25" t="s">
        <v>22</v>
      </c>
      <c r="B25" t="str">
        <f t="shared" ref="B25:B26" si="11">"$" &amp; TRIM(E25) &amp; "$"</f>
        <v>$E[X]$</v>
      </c>
      <c r="C25" t="str">
        <f t="shared" ref="C25:C26" si="12">IF(LEFT(F25,4)="must",F25,"$" &amp; TRIM(F25) &amp; "$")</f>
        <v>$\mu$</v>
      </c>
      <c r="D25" t="s">
        <v>49</v>
      </c>
      <c r="E25" t="s">
        <v>26</v>
      </c>
      <c r="F25" t="s">
        <v>36</v>
      </c>
    </row>
    <row r="26" spans="1:6" x14ac:dyDescent="0.75">
      <c r="A26" t="s">
        <v>22</v>
      </c>
      <c r="B26" t="str">
        <f t="shared" si="11"/>
        <v>$V[X]$</v>
      </c>
      <c r="C26" t="str">
        <f t="shared" si="12"/>
        <v>$\sigma^2$</v>
      </c>
      <c r="D26" t="s">
        <v>82</v>
      </c>
      <c r="E26" t="s">
        <v>28</v>
      </c>
      <c r="F26" t="s">
        <v>37</v>
      </c>
    </row>
    <row r="27" spans="1:6" x14ac:dyDescent="0.75">
      <c r="A27" t="s">
        <v>83</v>
      </c>
      <c r="B27" t="str">
        <f t="shared" ref="B27" si="13">"$" &amp; TRIM(E27) &amp; "$"</f>
        <v>$f(x)$</v>
      </c>
      <c r="C27" t="str">
        <f t="shared" ref="C27" si="14">IF(LEFT(F27,4)="must",F27,"$" &amp; TRIM(F27) &amp; "$")</f>
        <v>$\lambda e^{-\lambda x}$</v>
      </c>
      <c r="D27" t="s">
        <v>67</v>
      </c>
      <c r="E27" t="s">
        <v>18</v>
      </c>
      <c r="F27" t="s">
        <v>85</v>
      </c>
    </row>
    <row r="28" spans="1:6" x14ac:dyDescent="0.75">
      <c r="A28" t="s">
        <v>83</v>
      </c>
      <c r="B28" t="str">
        <f t="shared" ref="B28:B32" si="15">"$" &amp; TRIM(E28) &amp; "$"</f>
        <v>$F{x}$</v>
      </c>
      <c r="C28" t="str">
        <f t="shared" ref="C28:C32" si="16">IF(LEFT(F28,4)="must",F28,"$" &amp; TRIM(F28) &amp; "$")</f>
        <v>$1-e^{-\lambda x}$</v>
      </c>
      <c r="D28" t="s">
        <v>68</v>
      </c>
      <c r="E28" t="s">
        <v>38</v>
      </c>
      <c r="F28" t="s">
        <v>39</v>
      </c>
    </row>
    <row r="29" spans="1:6" x14ac:dyDescent="0.75">
      <c r="A29" t="s">
        <v>83</v>
      </c>
      <c r="B29" t="str">
        <f t="shared" si="15"/>
        <v>$F^{-1}(\alpha)$</v>
      </c>
      <c r="C29" t="str">
        <f t="shared" si="16"/>
        <v>$\frac{-ln(1-\alpha)}{\lambda}$</v>
      </c>
      <c r="D29" t="s">
        <v>69</v>
      </c>
      <c r="E29" t="s">
        <v>9</v>
      </c>
      <c r="F29" t="s">
        <v>40</v>
      </c>
    </row>
    <row r="30" spans="1:6" x14ac:dyDescent="0.75">
      <c r="A30" t="s">
        <v>83</v>
      </c>
      <c r="B30" t="str">
        <f t="shared" si="15"/>
        <v>$E[X]$</v>
      </c>
      <c r="C30" t="str">
        <f t="shared" si="16"/>
        <v>$\frac{1}{\lambda}$</v>
      </c>
      <c r="D30" t="s">
        <v>70</v>
      </c>
      <c r="E30" t="s">
        <v>26</v>
      </c>
      <c r="F30" t="s">
        <v>41</v>
      </c>
    </row>
    <row r="31" spans="1:6" x14ac:dyDescent="0.75">
      <c r="A31" t="s">
        <v>83</v>
      </c>
      <c r="B31" t="str">
        <f t="shared" si="15"/>
        <v>$V[X]$</v>
      </c>
      <c r="C31" t="str">
        <f t="shared" si="16"/>
        <v>$\frac{1}{\lambda ^ 2}$</v>
      </c>
      <c r="D31" t="s">
        <v>71</v>
      </c>
      <c r="E31" t="s">
        <v>28</v>
      </c>
      <c r="F31" t="s">
        <v>42</v>
      </c>
    </row>
    <row r="32" spans="1:6" x14ac:dyDescent="0.75">
      <c r="A32" t="s">
        <v>43</v>
      </c>
      <c r="B32" t="str">
        <f t="shared" si="15"/>
        <v>$f(x)$</v>
      </c>
      <c r="C32" t="str">
        <f t="shared" si="16"/>
        <v>$\lambda e^{-\lambda (x - a)}$</v>
      </c>
      <c r="D32" t="s">
        <v>72</v>
      </c>
      <c r="E32" t="s">
        <v>18</v>
      </c>
      <c r="F32" t="s">
        <v>84</v>
      </c>
    </row>
    <row r="33" spans="1:6" x14ac:dyDescent="0.75">
      <c r="A33" t="s">
        <v>43</v>
      </c>
      <c r="B33" t="str">
        <f t="shared" ref="B33:B36" si="17">"$" &amp; TRIM(E33) &amp; "$"</f>
        <v>$F{x}$</v>
      </c>
      <c r="C33" t="str">
        <f t="shared" ref="C33:C36" si="18">IF(LEFT(F33,4)="must",F33,"$" &amp; TRIM(F33) &amp; "$")</f>
        <v>$1-e^{-\lambda (x-a)}$</v>
      </c>
      <c r="D33" t="s">
        <v>73</v>
      </c>
      <c r="E33" t="s">
        <v>38</v>
      </c>
      <c r="F33" t="s">
        <v>44</v>
      </c>
    </row>
    <row r="34" spans="1:6" x14ac:dyDescent="0.75">
      <c r="A34" t="s">
        <v>43</v>
      </c>
      <c r="B34" t="str">
        <f t="shared" si="17"/>
        <v>$F^{-1}(\alpha)$</v>
      </c>
      <c r="C34" t="str">
        <f t="shared" si="18"/>
        <v>$a + \frac{-ln(1-\alpha)}{\lambda}$</v>
      </c>
      <c r="D34" t="s">
        <v>74</v>
      </c>
      <c r="E34" t="s">
        <v>9</v>
      </c>
      <c r="F34" t="s">
        <v>45</v>
      </c>
    </row>
    <row r="35" spans="1:6" x14ac:dyDescent="0.75">
      <c r="A35" t="s">
        <v>43</v>
      </c>
      <c r="B35" t="str">
        <f t="shared" si="17"/>
        <v>$E[X]$</v>
      </c>
      <c r="C35" t="str">
        <f t="shared" si="18"/>
        <v>$a + \frac{1}{\lambda}$</v>
      </c>
      <c r="D35" t="s">
        <v>75</v>
      </c>
      <c r="E35" t="s">
        <v>26</v>
      </c>
      <c r="F35" t="s">
        <v>46</v>
      </c>
    </row>
    <row r="36" spans="1:6" x14ac:dyDescent="0.75">
      <c r="A36" t="s">
        <v>43</v>
      </c>
      <c r="B36" t="str">
        <f t="shared" si="17"/>
        <v>$V[X]$</v>
      </c>
      <c r="C36" t="str">
        <f t="shared" si="18"/>
        <v>$\frac{1}{\lambda ^ 2}$</v>
      </c>
      <c r="D36" t="s">
        <v>71</v>
      </c>
      <c r="E36" t="s">
        <v>28</v>
      </c>
      <c r="F3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Mitchell, Gary</dc:creator>
  <cp:lastModifiedBy>Mitchell, Gary</cp:lastModifiedBy>
  <dcterms:created xsi:type="dcterms:W3CDTF">2022-04-22T23:21:30Z</dcterms:created>
  <dcterms:modified xsi:type="dcterms:W3CDTF">2024-04-09T22:18:11Z</dcterms:modified>
</cp:coreProperties>
</file>